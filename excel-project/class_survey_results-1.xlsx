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-analytics-projects-main\excel-project\"/>
    </mc:Choice>
  </mc:AlternateContent>
  <xr:revisionPtr revIDLastSave="0" documentId="13_ncr:1_{79ED89E8-241E-4BFB-AC68-C10877A6489A}" xr6:coauthVersionLast="47" xr6:coauthVersionMax="47" xr10:uidLastSave="{00000000-0000-0000-0000-000000000000}"/>
  <bookViews>
    <workbookView xWindow="-120" yWindow="-120" windowWidth="20730" windowHeight="11040" activeTab="1" xr2:uid="{AD976FC9-9605-427E-8A94-DC4CC3EC4C37}"/>
  </bookViews>
  <sheets>
    <sheet name="Sheet1" sheetId="2" r:id="rId1"/>
    <sheet name="class_survey_results-1" sheetId="1" r:id="rId2"/>
    <sheet name="Sheet2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D5" i="3"/>
  <c r="I8" i="1"/>
  <c r="I7" i="1"/>
  <c r="I6" i="1"/>
  <c r="I3" i="1"/>
  <c r="I5" i="1"/>
  <c r="P1" i="1"/>
  <c r="M2" i="1" a="1"/>
  <c r="M2" i="1" s="1"/>
  <c r="N2" i="1" s="1"/>
  <c r="J2" i="1" a="1"/>
  <c r="J2" i="1" s="1"/>
  <c r="K2" i="1" s="1"/>
  <c r="H2" i="1" a="1"/>
  <c r="H2" i="1" s="1"/>
  <c r="I2" i="1" s="1"/>
  <c r="K4" i="1" l="1"/>
  <c r="N5" i="1"/>
  <c r="K3" i="1"/>
  <c r="N4" i="1"/>
  <c r="N3" i="1"/>
  <c r="I4" i="1"/>
  <c r="K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<sst xmlns="http://schemas.openxmlformats.org/spreadsheetml/2006/main" count="69" uniqueCount="35">
  <si>
    <t>Student ID</t>
  </si>
  <si>
    <t>Favorite Subject</t>
  </si>
  <si>
    <t>Study Hours per Week</t>
  </si>
  <si>
    <t>Preferred Learning Method</t>
  </si>
  <si>
    <t>Device Used for Learning</t>
  </si>
  <si>
    <t>Test Score (%)</t>
  </si>
  <si>
    <t>Math</t>
  </si>
  <si>
    <t>Visual</t>
  </si>
  <si>
    <t>Laptop</t>
  </si>
  <si>
    <t>Science</t>
  </si>
  <si>
    <t>Auditory</t>
  </si>
  <si>
    <t>Tablet</t>
  </si>
  <si>
    <t>English</t>
  </si>
  <si>
    <t>Reading/Writing</t>
  </si>
  <si>
    <t>Desktop</t>
  </si>
  <si>
    <t>History</t>
  </si>
  <si>
    <t>Kinesthetic</t>
  </si>
  <si>
    <t>Smartphone</t>
  </si>
  <si>
    <t>Subject</t>
  </si>
  <si>
    <t>Frequency</t>
  </si>
  <si>
    <t>Learniig</t>
  </si>
  <si>
    <t>DEVISE</t>
  </si>
  <si>
    <t>FREQUENCY</t>
  </si>
  <si>
    <t>Sum of Study Hours per Week</t>
  </si>
  <si>
    <t>Sum of Test Score (%)</t>
  </si>
  <si>
    <t>Row Labels</t>
  </si>
  <si>
    <t>Grand Total</t>
  </si>
  <si>
    <t>Name</t>
  </si>
  <si>
    <t>Aisha</t>
  </si>
  <si>
    <t>Bello</t>
  </si>
  <si>
    <t>Musa</t>
  </si>
  <si>
    <t>Maths</t>
  </si>
  <si>
    <t>Eng</t>
  </si>
  <si>
    <t>Phy</t>
  </si>
  <si>
    <t>Chem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</si>
</sst>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Sheet1!$E$4:$E$18</c:f>
              <c:numCache>
                <c:formatCode>General</c:formatCode>
                <c:ptCount val="15"/>
                <c:pt idx="0">
                  <c:v>10</c:v>
                </c:pt>
                <c:pt idx="1">
                  <c:v>8</c:v>
                </c:pt>
                <c:pt idx="2">
                  <c:v>12</c:v>
                </c:pt>
                <c:pt idx="3">
                  <c:v>6</c:v>
                </c:pt>
                <c:pt idx="4">
                  <c:v>15</c:v>
                </c:pt>
                <c:pt idx="5">
                  <c:v>7</c:v>
                </c:pt>
                <c:pt idx="6">
                  <c:v>9</c:v>
                </c:pt>
                <c:pt idx="7">
                  <c:v>5</c:v>
                </c:pt>
                <c:pt idx="8">
                  <c:v>14</c:v>
                </c:pt>
                <c:pt idx="9">
                  <c:v>11</c:v>
                </c:pt>
                <c:pt idx="10">
                  <c:v>13</c:v>
                </c:pt>
                <c:pt idx="11">
                  <c:v>9</c:v>
                </c:pt>
                <c:pt idx="12">
                  <c:v>16</c:v>
                </c:pt>
                <c:pt idx="13">
                  <c:v>6</c:v>
                </c:pt>
                <c:pt idx="14">
                  <c:v>10</c:v>
                </c:pt>
              </c:numCache>
            </c:numRef>
          </c:xVal>
          <c:yVal>
            <c:numRef>
              <c:f>Sheet1!$F$4:$F$18</c:f>
              <c:numCache>
                <c:formatCode>General</c:formatCode>
                <c:ptCount val="15"/>
                <c:pt idx="0">
                  <c:v>85</c:v>
                </c:pt>
                <c:pt idx="1">
                  <c:v>78</c:v>
                </c:pt>
                <c:pt idx="2">
                  <c:v>90</c:v>
                </c:pt>
                <c:pt idx="3">
                  <c:v>70</c:v>
                </c:pt>
                <c:pt idx="4">
                  <c:v>92</c:v>
                </c:pt>
                <c:pt idx="5">
                  <c:v>80</c:v>
                </c:pt>
                <c:pt idx="6">
                  <c:v>75</c:v>
                </c:pt>
                <c:pt idx="7">
                  <c:v>65</c:v>
                </c:pt>
                <c:pt idx="8">
                  <c:v>88</c:v>
                </c:pt>
                <c:pt idx="9">
                  <c:v>82</c:v>
                </c:pt>
                <c:pt idx="10">
                  <c:v>91</c:v>
                </c:pt>
                <c:pt idx="11">
                  <c:v>77</c:v>
                </c:pt>
                <c:pt idx="12">
                  <c:v>84</c:v>
                </c:pt>
                <c:pt idx="13">
                  <c:v>73</c:v>
                </c:pt>
                <c:pt idx="14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86-4179-B467-4E9EDB217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462112"/>
        <c:axId val="732458272"/>
      </c:scatterChart>
      <c:valAx>
        <c:axId val="73246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32458272"/>
        <c:crosses val="autoZero"/>
        <c:crossBetween val="midCat"/>
      </c:valAx>
      <c:valAx>
        <c:axId val="73245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3246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1209675</xdr:colOff>
      <xdr:row>3</xdr:row>
      <xdr:rowOff>90487</xdr:rowOff>
    </xdr:from>
    <xdr:to>
      <xdr:col>8</xdr:col>
      <xdr:colOff>561975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A8B48B-F1EB-EF11-FFF6-11081595C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 Sataria" refreshedDate="46133.585885185188" createdVersion="8" refreshedVersion="8" minRefreshableVersion="3" recordCount="15" xr:uid="{70463255-F9E0-40DD-A8B5-04FD1DE3AABB}">
  <cacheSource type="worksheet">
    <worksheetSource ref="A1:F16" sheet="class_survey_results-1"/>
  </cacheSource>
  <cacheFields count="6">
    <cacheField name="Student ID" numFmtId="0">
      <sharedItems containsSemiMixedTypes="0" containsString="0" containsNumber="1" containsInteger="1" minValue="101" maxValue="115" count="15"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</sharedItems>
    </cacheField>
    <cacheField name="Favorite Subject" numFmtId="0">
      <sharedItems/>
    </cacheField>
    <cacheField name="Study Hours per Week" numFmtId="0">
      <sharedItems containsSemiMixedTypes="0" containsString="0" containsNumber="1" containsInteger="1" minValue="5" maxValue="16"/>
    </cacheField>
    <cacheField name="Preferred Learning Method" numFmtId="0">
      <sharedItems/>
    </cacheField>
    <cacheField name="Device Used for Learning" numFmtId="0">
      <sharedItems/>
    </cacheField>
    <cacheField name="Test Score (%)" numFmtId="0">
      <sharedItems containsSemiMixedTypes="0" containsString="0" containsNumber="1" containsInteger="1" minValue="65" maxValue="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Math"/>
    <n v="10"/>
    <s v="Visual"/>
    <s v="Laptop"/>
    <n v="85"/>
  </r>
  <r>
    <x v="1"/>
    <s v="Science"/>
    <n v="8"/>
    <s v="Auditory"/>
    <s v="Tablet"/>
    <n v="78"/>
  </r>
  <r>
    <x v="2"/>
    <s v="English"/>
    <n v="12"/>
    <s v="Reading/Writing"/>
    <s v="Desktop"/>
    <n v="90"/>
  </r>
  <r>
    <x v="3"/>
    <s v="History"/>
    <n v="6"/>
    <s v="Kinesthetic"/>
    <s v="Smartphone"/>
    <n v="70"/>
  </r>
  <r>
    <x v="4"/>
    <s v="Math"/>
    <n v="15"/>
    <s v="Visual"/>
    <s v="Laptop"/>
    <n v="92"/>
  </r>
  <r>
    <x v="5"/>
    <s v="Science"/>
    <n v="7"/>
    <s v="Reading/Writing"/>
    <s v="Tablet"/>
    <n v="80"/>
  </r>
  <r>
    <x v="6"/>
    <s v="English"/>
    <n v="9"/>
    <s v="Visual"/>
    <s v="Smartphone"/>
    <n v="75"/>
  </r>
  <r>
    <x v="7"/>
    <s v="History"/>
    <n v="5"/>
    <s v="Auditory"/>
    <s v="Laptop"/>
    <n v="65"/>
  </r>
  <r>
    <x v="8"/>
    <s v="Science"/>
    <n v="14"/>
    <s v="Kinesthetic"/>
    <s v="Desktop"/>
    <n v="88"/>
  </r>
  <r>
    <x v="9"/>
    <s v="Math"/>
    <n v="11"/>
    <s v="Reading/Writing"/>
    <s v="Tablet"/>
    <n v="82"/>
  </r>
  <r>
    <x v="10"/>
    <s v="English"/>
    <n v="13"/>
    <s v="Visual"/>
    <s v="Laptop"/>
    <n v="91"/>
  </r>
  <r>
    <x v="11"/>
    <s v="Science"/>
    <n v="9"/>
    <s v="Auditory"/>
    <s v="Laptop"/>
    <n v="77"/>
  </r>
  <r>
    <x v="12"/>
    <s v="Math"/>
    <n v="16"/>
    <s v="Kinesthetic"/>
    <s v="Tablet"/>
    <n v="84"/>
  </r>
  <r>
    <x v="13"/>
    <s v="History"/>
    <n v="6"/>
    <s v="Reading/Writing"/>
    <s v="Laptop"/>
    <n v="73"/>
  </r>
  <r>
    <x v="14"/>
    <s v="Science"/>
    <n v="10"/>
    <s v="Visual"/>
    <s v="Desktop"/>
    <n v="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AF9768-9E37-4932-93E8-AF7325C82E7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9" firstHeaderRow="0" firstDataRow="1" firstDataCol="1"/>
  <pivotFields count="6"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dataField="1" showAll="0"/>
    <pivotField showAll="0"/>
    <pivotField showAll="0"/>
    <pivotField dataField="1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tudy Hours per Week" fld="2" baseField="0" baseItem="0"/>
    <dataField name="Sum of Test Score (%)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33A89-0346-4F2B-B2ED-D70B0BC795A5}">
  <dimension ref="A3:F19"/>
  <sheetViews>
    <sheetView workbookViewId="0">
      <selection activeCell="G19" sqref="G19"/>
    </sheetView>
  </sheetViews>
  <sheetFormatPr defaultRowHeight="15" x14ac:dyDescent="0.25"/>
  <cols>
    <col min="1" max="1" width="13.42578125" bestFit="1" customWidth="1"/>
    <col min="2" max="2" width="28.28515625" bestFit="1" customWidth="1"/>
    <col min="3" max="4" width="20.85546875" bestFit="1" customWidth="1"/>
  </cols>
  <sheetData>
    <row r="3" spans="1:6" x14ac:dyDescent="0.25">
      <c r="A3" s="1" t="s">
        <v>25</v>
      </c>
      <c r="B3" t="s">
        <v>23</v>
      </c>
      <c r="C3" t="s">
        <v>24</v>
      </c>
    </row>
    <row r="4" spans="1:6" x14ac:dyDescent="0.25">
      <c r="A4" s="2">
        <v>101</v>
      </c>
      <c r="B4">
        <v>10</v>
      </c>
      <c r="C4">
        <v>85</v>
      </c>
      <c r="E4">
        <v>10</v>
      </c>
      <c r="F4">
        <v>85</v>
      </c>
    </row>
    <row r="5" spans="1:6" x14ac:dyDescent="0.25">
      <c r="A5" s="2">
        <v>102</v>
      </c>
      <c r="B5">
        <v>8</v>
      </c>
      <c r="C5">
        <v>78</v>
      </c>
      <c r="E5">
        <v>8</v>
      </c>
      <c r="F5">
        <v>78</v>
      </c>
    </row>
    <row r="6" spans="1:6" x14ac:dyDescent="0.25">
      <c r="A6" s="2">
        <v>103</v>
      </c>
      <c r="B6">
        <v>12</v>
      </c>
      <c r="C6">
        <v>90</v>
      </c>
      <c r="E6">
        <v>12</v>
      </c>
      <c r="F6">
        <v>90</v>
      </c>
    </row>
    <row r="7" spans="1:6" x14ac:dyDescent="0.25">
      <c r="A7" s="2">
        <v>104</v>
      </c>
      <c r="B7">
        <v>6</v>
      </c>
      <c r="C7">
        <v>70</v>
      </c>
      <c r="E7">
        <v>6</v>
      </c>
      <c r="F7">
        <v>70</v>
      </c>
    </row>
    <row r="8" spans="1:6" x14ac:dyDescent="0.25">
      <c r="A8" s="2">
        <v>105</v>
      </c>
      <c r="B8">
        <v>15</v>
      </c>
      <c r="C8">
        <v>92</v>
      </c>
      <c r="E8">
        <v>15</v>
      </c>
      <c r="F8">
        <v>92</v>
      </c>
    </row>
    <row r="9" spans="1:6" x14ac:dyDescent="0.25">
      <c r="A9" s="2">
        <v>106</v>
      </c>
      <c r="B9">
        <v>7</v>
      </c>
      <c r="C9">
        <v>80</v>
      </c>
      <c r="E9">
        <v>7</v>
      </c>
      <c r="F9">
        <v>80</v>
      </c>
    </row>
    <row r="10" spans="1:6" x14ac:dyDescent="0.25">
      <c r="A10" s="2">
        <v>107</v>
      </c>
      <c r="B10">
        <v>9</v>
      </c>
      <c r="C10">
        <v>75</v>
      </c>
      <c r="E10">
        <v>9</v>
      </c>
      <c r="F10">
        <v>75</v>
      </c>
    </row>
    <row r="11" spans="1:6" x14ac:dyDescent="0.25">
      <c r="A11" s="2">
        <v>108</v>
      </c>
      <c r="B11">
        <v>5</v>
      </c>
      <c r="C11">
        <v>65</v>
      </c>
      <c r="E11">
        <v>5</v>
      </c>
      <c r="F11">
        <v>65</v>
      </c>
    </row>
    <row r="12" spans="1:6" x14ac:dyDescent="0.25">
      <c r="A12" s="2">
        <v>109</v>
      </c>
      <c r="B12">
        <v>14</v>
      </c>
      <c r="C12">
        <v>88</v>
      </c>
      <c r="E12">
        <v>14</v>
      </c>
      <c r="F12">
        <v>88</v>
      </c>
    </row>
    <row r="13" spans="1:6" x14ac:dyDescent="0.25">
      <c r="A13" s="2">
        <v>110</v>
      </c>
      <c r="B13">
        <v>11</v>
      </c>
      <c r="C13">
        <v>82</v>
      </c>
      <c r="E13">
        <v>11</v>
      </c>
      <c r="F13">
        <v>82</v>
      </c>
    </row>
    <row r="14" spans="1:6" x14ac:dyDescent="0.25">
      <c r="A14" s="2">
        <v>111</v>
      </c>
      <c r="B14">
        <v>13</v>
      </c>
      <c r="C14">
        <v>91</v>
      </c>
      <c r="E14">
        <v>13</v>
      </c>
      <c r="F14">
        <v>91</v>
      </c>
    </row>
    <row r="15" spans="1:6" x14ac:dyDescent="0.25">
      <c r="A15" s="2">
        <v>112</v>
      </c>
      <c r="B15">
        <v>9</v>
      </c>
      <c r="C15">
        <v>77</v>
      </c>
      <c r="E15">
        <v>9</v>
      </c>
      <c r="F15">
        <v>77</v>
      </c>
    </row>
    <row r="16" spans="1:6" x14ac:dyDescent="0.25">
      <c r="A16" s="2">
        <v>113</v>
      </c>
      <c r="B16">
        <v>16</v>
      </c>
      <c r="C16">
        <v>84</v>
      </c>
      <c r="E16">
        <v>16</v>
      </c>
      <c r="F16">
        <v>84</v>
      </c>
    </row>
    <row r="17" spans="1:6" x14ac:dyDescent="0.25">
      <c r="A17" s="2">
        <v>114</v>
      </c>
      <c r="B17">
        <v>6</v>
      </c>
      <c r="C17">
        <v>73</v>
      </c>
      <c r="E17">
        <v>6</v>
      </c>
      <c r="F17">
        <v>73</v>
      </c>
    </row>
    <row r="18" spans="1:6" x14ac:dyDescent="0.25">
      <c r="A18" s="2">
        <v>115</v>
      </c>
      <c r="B18">
        <v>10</v>
      </c>
      <c r="C18">
        <v>86</v>
      </c>
      <c r="E18">
        <v>10</v>
      </c>
      <c r="F18">
        <v>86</v>
      </c>
    </row>
    <row r="19" spans="1:6" x14ac:dyDescent="0.25">
      <c r="A19" s="2" t="s">
        <v>26</v>
      </c>
      <c r="B19">
        <v>151</v>
      </c>
      <c r="C19">
        <v>1216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C0C04-B0FB-4CD2-A3C6-F4875D9E8742}">
  <dimension ref="A1:P16"/>
  <sheetViews>
    <sheetView tabSelected="1" workbookViewId="0">
      <selection activeCell="I7" sqref="I7"/>
    </sheetView>
  </sheetViews>
  <sheetFormatPr defaultRowHeight="15" x14ac:dyDescent="0.25"/>
  <cols>
    <col min="3" max="3" width="13" customWidth="1"/>
    <col min="10" max="10" width="14.8554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18</v>
      </c>
      <c r="I1" t="s">
        <v>19</v>
      </c>
      <c r="J1" t="s">
        <v>20</v>
      </c>
      <c r="K1" t="s">
        <v>19</v>
      </c>
      <c r="M1" t="s">
        <v>21</v>
      </c>
      <c r="N1" t="s">
        <v>22</v>
      </c>
      <c r="P1">
        <f>ROUND(AVERAGE(C2:C16),2)</f>
        <v>10.07</v>
      </c>
    </row>
    <row r="2" spans="1:16" x14ac:dyDescent="0.25">
      <c r="A2">
        <v>101</v>
      </c>
      <c r="B2" t="s">
        <v>6</v>
      </c>
      <c r="C2">
        <v>10</v>
      </c>
      <c r="D2" t="s">
        <v>7</v>
      </c>
      <c r="E2" t="s">
        <v>8</v>
      </c>
      <c r="F2">
        <v>85</v>
      </c>
      <c r="H2" t="str" cm="1">
        <f t="array" ref="H2:H5">_xlfn.UNIQUE(B2:B16)</f>
        <v>Math</v>
      </c>
      <c r="I2">
        <f>COUNTIF(B2:B16,H2)</f>
        <v>4</v>
      </c>
      <c r="J2" t="str" cm="1">
        <f t="array" ref="J2:J5">_xlfn.UNIQUE(D2:D16)</f>
        <v>Visual</v>
      </c>
      <c r="K2">
        <f>COUNTIF(D2:D16,J2)</f>
        <v>5</v>
      </c>
      <c r="M2" t="str" cm="1">
        <f t="array" ref="M2:M5">_xlfn.UNIQUE(E2:E16)</f>
        <v>Laptop</v>
      </c>
      <c r="N2">
        <f>COUNTIF(E2:E16,M2)</f>
        <v>6</v>
      </c>
    </row>
    <row r="3" spans="1:16" x14ac:dyDescent="0.25">
      <c r="A3">
        <v>102</v>
      </c>
      <c r="B3" t="s">
        <v>9</v>
      </c>
      <c r="C3">
        <v>8</v>
      </c>
      <c r="D3" t="s">
        <v>10</v>
      </c>
      <c r="E3" t="s">
        <v>11</v>
      </c>
      <c r="F3">
        <v>78</v>
      </c>
      <c r="H3" t="str">
        <v>Science</v>
      </c>
      <c r="I3">
        <f t="shared" ref="I3:I5" si="0">COUNTIF(B3:B17,H3)</f>
        <v>5</v>
      </c>
      <c r="J3" t="str">
        <v>Auditory</v>
      </c>
      <c r="K3">
        <f t="shared" ref="K3:K5" si="1">COUNTIF(D3:D17,J3)</f>
        <v>3</v>
      </c>
      <c r="M3" t="str">
        <v>Tablet</v>
      </c>
      <c r="N3">
        <f t="shared" ref="N3:N5" si="2">COUNTIF(E3:E17,M3)</f>
        <v>4</v>
      </c>
    </row>
    <row r="4" spans="1:16" x14ac:dyDescent="0.25">
      <c r="A4">
        <v>103</v>
      </c>
      <c r="B4" t="s">
        <v>12</v>
      </c>
      <c r="C4">
        <v>12</v>
      </c>
      <c r="D4" t="s">
        <v>13</v>
      </c>
      <c r="E4" t="s">
        <v>14</v>
      </c>
      <c r="F4">
        <v>90</v>
      </c>
      <c r="H4" t="str">
        <v>English</v>
      </c>
      <c r="I4">
        <f t="shared" si="0"/>
        <v>3</v>
      </c>
      <c r="J4" t="str">
        <v>Reading/Writing</v>
      </c>
      <c r="K4">
        <f t="shared" si="1"/>
        <v>4</v>
      </c>
      <c r="M4" t="str">
        <v>Desktop</v>
      </c>
      <c r="N4">
        <f t="shared" si="2"/>
        <v>3</v>
      </c>
    </row>
    <row r="5" spans="1:16" x14ac:dyDescent="0.25">
      <c r="A5">
        <v>104</v>
      </c>
      <c r="B5" t="s">
        <v>15</v>
      </c>
      <c r="C5">
        <v>6</v>
      </c>
      <c r="D5" t="s">
        <v>16</v>
      </c>
      <c r="E5" t="s">
        <v>17</v>
      </c>
      <c r="F5">
        <v>70</v>
      </c>
      <c r="H5" t="str">
        <v>History</v>
      </c>
      <c r="I5">
        <f t="shared" si="0"/>
        <v>3</v>
      </c>
      <c r="J5" t="str">
        <v>Kinesthetic</v>
      </c>
      <c r="K5">
        <f t="shared" si="1"/>
        <v>3</v>
      </c>
      <c r="M5" t="str">
        <v>Smartphone</v>
      </c>
      <c r="N5">
        <f t="shared" si="2"/>
        <v>2</v>
      </c>
    </row>
    <row r="6" spans="1:16" x14ac:dyDescent="0.25">
      <c r="A6">
        <v>105</v>
      </c>
      <c r="B6" t="s">
        <v>6</v>
      </c>
      <c r="C6">
        <v>15</v>
      </c>
      <c r="D6" t="s">
        <v>7</v>
      </c>
      <c r="E6" t="s">
        <v>8</v>
      </c>
      <c r="F6">
        <v>92</v>
      </c>
      <c r="I6" t="str">
        <f>_xlfn.XLOOKUP(MAX($I$2:$I$5),$I$2:$I$5,$H$2:$H$5,"",0,1)</f>
        <v>Science</v>
      </c>
    </row>
    <row r="7" spans="1:16" x14ac:dyDescent="0.25">
      <c r="A7">
        <v>106</v>
      </c>
      <c r="B7" t="s">
        <v>9</v>
      </c>
      <c r="C7">
        <v>7</v>
      </c>
      <c r="D7" t="s">
        <v>13</v>
      </c>
      <c r="E7" t="s">
        <v>11</v>
      </c>
      <c r="F7">
        <v>80</v>
      </c>
      <c r="I7">
        <f>MATCH(MAX($I$2:$I$5),$I$2:$I$5,0)</f>
        <v>2</v>
      </c>
    </row>
    <row r="8" spans="1:16" x14ac:dyDescent="0.25">
      <c r="A8">
        <v>107</v>
      </c>
      <c r="B8" t="s">
        <v>12</v>
      </c>
      <c r="C8">
        <v>9</v>
      </c>
      <c r="D8" t="s">
        <v>7</v>
      </c>
      <c r="E8" t="s">
        <v>17</v>
      </c>
      <c r="F8">
        <v>75</v>
      </c>
      <c r="I8" t="str">
        <f>INDEX($H$2:$H$5,MATCH(MAX($I$2:$I$5),$I$2:$I$5,0),1)</f>
        <v>Science</v>
      </c>
    </row>
    <row r="9" spans="1:16" x14ac:dyDescent="0.25">
      <c r="A9">
        <v>108</v>
      </c>
      <c r="B9" t="s">
        <v>15</v>
      </c>
      <c r="C9">
        <v>5</v>
      </c>
      <c r="D9" t="s">
        <v>10</v>
      </c>
      <c r="E9" t="s">
        <v>8</v>
      </c>
      <c r="F9">
        <v>65</v>
      </c>
    </row>
    <row r="10" spans="1:16" x14ac:dyDescent="0.25">
      <c r="A10">
        <v>109</v>
      </c>
      <c r="B10" t="s">
        <v>9</v>
      </c>
      <c r="C10">
        <v>14</v>
      </c>
      <c r="D10" t="s">
        <v>16</v>
      </c>
      <c r="E10" t="s">
        <v>14</v>
      </c>
      <c r="F10">
        <v>88</v>
      </c>
    </row>
    <row r="11" spans="1:16" x14ac:dyDescent="0.25">
      <c r="A11">
        <v>110</v>
      </c>
      <c r="B11" t="s">
        <v>6</v>
      </c>
      <c r="C11">
        <v>11</v>
      </c>
      <c r="D11" t="s">
        <v>13</v>
      </c>
      <c r="E11" t="s">
        <v>11</v>
      </c>
      <c r="F11">
        <v>82</v>
      </c>
    </row>
    <row r="12" spans="1:16" x14ac:dyDescent="0.25">
      <c r="A12">
        <v>111</v>
      </c>
      <c r="B12" t="s">
        <v>12</v>
      </c>
      <c r="C12">
        <v>13</v>
      </c>
      <c r="D12" t="s">
        <v>7</v>
      </c>
      <c r="E12" t="s">
        <v>8</v>
      </c>
      <c r="F12">
        <v>91</v>
      </c>
    </row>
    <row r="13" spans="1:16" x14ac:dyDescent="0.25">
      <c r="A13">
        <v>112</v>
      </c>
      <c r="B13" t="s">
        <v>9</v>
      </c>
      <c r="C13">
        <v>9</v>
      </c>
      <c r="D13" t="s">
        <v>10</v>
      </c>
      <c r="E13" t="s">
        <v>8</v>
      </c>
      <c r="F13">
        <v>77</v>
      </c>
    </row>
    <row r="14" spans="1:16" x14ac:dyDescent="0.25">
      <c r="A14">
        <v>113</v>
      </c>
      <c r="B14" t="s">
        <v>6</v>
      </c>
      <c r="C14">
        <v>16</v>
      </c>
      <c r="D14" t="s">
        <v>16</v>
      </c>
      <c r="E14" t="s">
        <v>11</v>
      </c>
      <c r="F14">
        <v>84</v>
      </c>
    </row>
    <row r="15" spans="1:16" x14ac:dyDescent="0.25">
      <c r="A15">
        <v>114</v>
      </c>
      <c r="B15" t="s">
        <v>15</v>
      </c>
      <c r="C15">
        <v>6</v>
      </c>
      <c r="D15" t="s">
        <v>13</v>
      </c>
      <c r="E15" t="s">
        <v>8</v>
      </c>
      <c r="F15">
        <v>73</v>
      </c>
    </row>
    <row r="16" spans="1:16" x14ac:dyDescent="0.25">
      <c r="A16">
        <v>115</v>
      </c>
      <c r="B16" t="s">
        <v>9</v>
      </c>
      <c r="C16">
        <v>10</v>
      </c>
      <c r="D16" t="s">
        <v>7</v>
      </c>
      <c r="E16" t="s">
        <v>14</v>
      </c>
      <c r="F16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17A6E-C923-4466-8DE7-43500BED2FCA}">
  <dimension ref="A1:E5"/>
  <sheetViews>
    <sheetView workbookViewId="0">
      <selection activeCell="E6" sqref="E6"/>
    </sheetView>
  </sheetViews>
  <sheetFormatPr defaultRowHeight="15" x14ac:dyDescent="0.25"/>
  <sheetData>
    <row r="1" spans="1:5" x14ac:dyDescent="0.25">
      <c r="A1" t="s">
        <v>27</v>
      </c>
      <c r="B1" t="s">
        <v>31</v>
      </c>
      <c r="C1" t="s">
        <v>32</v>
      </c>
      <c r="D1" t="s">
        <v>33</v>
      </c>
      <c r="E1" t="s">
        <v>34</v>
      </c>
    </row>
    <row r="2" spans="1:5" x14ac:dyDescent="0.25">
      <c r="A2" t="s">
        <v>28</v>
      </c>
      <c r="B2">
        <v>30</v>
      </c>
      <c r="C2">
        <v>50</v>
      </c>
      <c r="D2">
        <v>35</v>
      </c>
      <c r="E2">
        <v>40</v>
      </c>
    </row>
    <row r="3" spans="1:5" x14ac:dyDescent="0.25">
      <c r="A3" t="s">
        <v>29</v>
      </c>
      <c r="B3">
        <v>26</v>
      </c>
      <c r="C3">
        <v>33</v>
      </c>
      <c r="D3">
        <v>48</v>
      </c>
      <c r="E3">
        <v>37</v>
      </c>
    </row>
    <row r="4" spans="1:5" x14ac:dyDescent="0.25">
      <c r="A4" t="s">
        <v>30</v>
      </c>
      <c r="B4">
        <v>18</v>
      </c>
      <c r="C4">
        <v>25</v>
      </c>
      <c r="D4">
        <v>62</v>
      </c>
      <c r="E4">
        <v>43</v>
      </c>
    </row>
    <row r="5" spans="1:5" x14ac:dyDescent="0.25">
      <c r="D5">
        <f>INDEX($B$2:$E$4,MATCH("Bello",$A$2:$A$4,),MATCH("Phy",$B$1:$E$1,0))</f>
        <v>48</v>
      </c>
      <c r="E5">
        <f>INDEX($B$2:$E$4,MATCH("Musa",$A$2:$A$4,),MATCH("Chem",$B$1:$E$1,0))</f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class_survey_results-1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Sataria</dc:creator>
  <cp:lastModifiedBy>Sam Sataria</cp:lastModifiedBy>
  <dcterms:created xsi:type="dcterms:W3CDTF">2026-04-21T13:07:28Z</dcterms:created>
  <dcterms:modified xsi:type="dcterms:W3CDTF">2026-06-08T15:17:48Z</dcterms:modified>
</cp:coreProperties>
</file>